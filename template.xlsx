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5" yWindow="1140" windowWidth="21600" windowHeight="11385" tabRatio="872" firstSheet="0" activeTab="0" autoFilterDateGrouping="1"/>
  </bookViews>
  <sheets>
    <sheet name="ШАБЛОН_сводная" sheetId="1" state="visible" r:id="rId1"/>
    <sheet name="ШАБЛОН_смета" sheetId="2" state="visible" r:id="rId2"/>
  </sheets>
  <definedNames>
    <definedName name="_xlnm._FilterDatabase" localSheetId="0" hidden="1">'ШАБЛОН_сводная'!$A$18:$G$28</definedName>
    <definedName name="_xlnm.Print_Area" localSheetId="0">'ШАБЛОН_сводная'!$A$1:$G$40</definedName>
    <definedName name="_xlnm.Print_Titles" localSheetId="1">'ШАБЛОН_смета'!$21:$21</definedName>
    <definedName name="_xlnm.Print_Area" localSheetId="1">'ШАБЛОН_смета'!$A$1:$E$74</definedName>
  </definedNames>
  <calcPr calcId="191029" fullCalcOnLoad="1" refMode="R1C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#,##0.00000"/>
    <numFmt numFmtId="166" formatCode="0.00000"/>
    <numFmt numFmtId="167" formatCode="0.000"/>
    <numFmt numFmtId="168" formatCode="0.0000"/>
  </numFmts>
  <fonts count="40">
    <font>
      <name val="Calibri"/>
      <charset val="1"/>
      <sz val="11"/>
    </font>
    <font>
      <name val="Calibri"/>
      <charset val="204"/>
      <family val="2"/>
      <color theme="1"/>
      <sz val="11"/>
      <scheme val="minor"/>
    </font>
    <font>
      <name val="Calibri"/>
      <charset val="204"/>
      <color rgb="FF000000"/>
      <sz val="11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sz val="10"/>
    </font>
    <font>
      <name val="Arial Cyr"/>
      <charset val="204"/>
      <sz val="10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0"/>
      <sz val="10"/>
    </font>
    <font>
      <name val="Times New Roman"/>
      <charset val="204"/>
      <family val="1"/>
      <b val="1"/>
      <sz val="10"/>
    </font>
    <font>
      <name val="Times New Roman"/>
      <charset val="204"/>
      <family val="1"/>
      <color theme="0"/>
      <sz val="11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color rgb="FF000000"/>
      <sz val="8"/>
    </font>
    <font>
      <name val="Times New Roman"/>
      <charset val="204"/>
      <family val="1"/>
      <sz val="8"/>
    </font>
    <font>
      <name val="Times New Roman"/>
      <charset val="204"/>
      <family val="1"/>
      <sz val="9"/>
    </font>
    <font>
      <name val="Times New Roman"/>
      <charset val="204"/>
      <family val="1"/>
      <color rgb="FF000000"/>
      <sz val="9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color theme="0"/>
      <sz val="8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8"/>
    </font>
    <font>
      <name val="Times New Roman"/>
      <charset val="204"/>
      <family val="1"/>
      <color indexed="8"/>
      <sz val="10"/>
    </font>
    <font>
      <name val="Times New Roman"/>
      <charset val="204"/>
      <family val="1"/>
      <b val="1"/>
      <color rgb="FF000000"/>
      <sz val="9"/>
    </font>
    <font>
      <name val="Times New Roman"/>
      <charset val="204"/>
      <family val="1"/>
      <i val="1"/>
      <sz val="8"/>
    </font>
    <font>
      <name val="Times New Roman"/>
      <charset val="204"/>
      <family val="1"/>
      <b val="1"/>
      <color rgb="FF000000"/>
      <sz val="8"/>
    </font>
    <font>
      <name val="Calibri"/>
      <charset val="204"/>
      <family val="2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9" tint="-0.499984740745262"/>
      <sz val="12"/>
    </font>
    <font>
      <name val="Times New Roman"/>
      <charset val="204"/>
      <family val="1"/>
      <color theme="5" tint="-0.499984740745262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color indexed="8"/>
      <sz val="12"/>
      <u val="single"/>
    </font>
    <font>
      <name val="Times New Roman"/>
      <charset val="204"/>
      <family val="1"/>
      <color rgb="FF000000"/>
      <sz val="12"/>
      <u val="single"/>
    </font>
    <font>
      <name val="Times New Roman"/>
      <charset val="204"/>
      <family val="1"/>
      <sz val="12"/>
      <u val="single"/>
    </font>
    <font>
      <name val="Times New Roman"/>
      <charset val="204"/>
      <family val="1"/>
      <color theme="9" tint="-0.499984740745262"/>
      <sz val="10"/>
    </font>
    <font>
      <name val="Times New Roman"/>
      <charset val="204"/>
      <family val="1"/>
      <color theme="5" tint="-0.499984740745262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0"/>
      <sz val="10"/>
    </font>
    <font>
      <name val="Times New Roman"/>
      <charset val="204"/>
      <family val="1"/>
      <b val="1"/>
      <color theme="9" tint="-0.499984740745262"/>
      <sz val="12"/>
    </font>
    <font>
      <name val="Times New Roman"/>
      <charset val="204"/>
      <family val="1"/>
      <b val="1"/>
      <color theme="5" tint="-0.499984740745262"/>
      <sz val="12"/>
    </font>
    <font>
      <name val="Times New Roman"/>
      <charset val="204"/>
      <family val="1"/>
      <b val="1"/>
      <sz val="12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5" fillId="0" borderId="0"/>
    <xf numFmtId="0" fontId="5" fillId="0" borderId="0"/>
    <xf numFmtId="0" fontId="23" fillId="0" borderId="0"/>
    <xf numFmtId="0" fontId="2" fillId="0" borderId="0"/>
    <xf numFmtId="0" fontId="1" fillId="0" borderId="0"/>
  </cellStyleXfs>
  <cellXfs count="226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top"/>
    </xf>
    <xf numFmtId="164" fontId="6" fillId="0" borderId="0" applyAlignment="1" pivotButton="0" quotePrefix="0" xfId="1">
      <alignment horizontal="right" vertical="center"/>
    </xf>
    <xf numFmtId="0" fontId="7" fillId="0" borderId="0" applyAlignment="1" pivotButton="0" quotePrefix="0" xfId="0">
      <alignment horizontal="right"/>
    </xf>
    <xf numFmtId="0" fontId="4" fillId="0" borderId="0" applyAlignment="1" pivotButton="0" quotePrefix="0" xfId="2">
      <alignment horizontal="right" vertical="center" wrapText="1"/>
    </xf>
    <xf numFmtId="49" fontId="9" fillId="0" borderId="0" applyAlignment="1" pivotButton="0" quotePrefix="0" xfId="0">
      <alignment horizontal="right"/>
    </xf>
    <xf numFmtId="0" fontId="10" fillId="0" borderId="0" pivotButton="0" quotePrefix="0" xfId="0"/>
    <xf numFmtId="0" fontId="8" fillId="0" borderId="0" applyAlignment="1" pivotButton="0" quotePrefix="0" xfId="0">
      <alignment horizontal="center" vertical="top" wrapText="1"/>
    </xf>
    <xf numFmtId="0" fontId="11" fillId="0" borderId="0" pivotButton="0" quotePrefix="0" xfId="0"/>
    <xf numFmtId="0" fontId="11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top"/>
    </xf>
    <xf numFmtId="0" fontId="13" fillId="0" borderId="0" pivotButton="0" quotePrefix="0" xfId="0"/>
    <xf numFmtId="0" fontId="14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2" fillId="0" borderId="0" pivotButton="0" quotePrefix="0" xfId="0"/>
    <xf numFmtId="0" fontId="13" fillId="0" borderId="0" applyAlignment="1" pivotButton="0" quotePrefix="0" xfId="0">
      <alignment horizontal="left" indent="1"/>
    </xf>
    <xf numFmtId="0" fontId="15" fillId="0" borderId="1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0" fontId="16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vertical="center"/>
    </xf>
    <xf numFmtId="0" fontId="17" fillId="0" borderId="0" applyAlignment="1" pivotButton="0" quotePrefix="0" xfId="1">
      <alignment horizontal="left" wrapText="1" shrinkToFit="1"/>
    </xf>
    <xf numFmtId="0" fontId="17" fillId="0" borderId="0" applyAlignment="1" pivotButton="0" quotePrefix="0" xfId="1">
      <alignment wrapText="1" shrinkToFit="1"/>
    </xf>
    <xf numFmtId="4" fontId="17" fillId="0" borderId="0" applyAlignment="1" pivotButton="0" quotePrefix="0" xfId="1">
      <alignment horizontal="left" wrapText="1" shrinkToFit="1"/>
    </xf>
    <xf numFmtId="0" fontId="17" fillId="0" borderId="1" applyAlignment="1" pivotButton="0" quotePrefix="0" xfId="1">
      <alignment wrapText="1" shrinkToFit="1"/>
    </xf>
    <xf numFmtId="0" fontId="9" fillId="0" borderId="0" pivotButton="0" quotePrefix="0" xfId="0"/>
    <xf numFmtId="0" fontId="18" fillId="0" borderId="2" applyAlignment="1" pivotButton="0" quotePrefix="0" xfId="1">
      <alignment horizontal="center" vertical="top" wrapText="1" shrinkToFit="1"/>
    </xf>
    <xf numFmtId="0" fontId="4" fillId="0" borderId="0" applyAlignment="1" pivotButton="0" quotePrefix="0" xfId="1">
      <alignment wrapText="1" shrinkToFit="1"/>
    </xf>
    <xf numFmtId="0" fontId="16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19" fillId="0" borderId="0" applyAlignment="1" pivotButton="0" quotePrefix="0" xfId="1">
      <alignment horizontal="center" vertical="top" wrapText="1" shrinkToFit="1"/>
    </xf>
    <xf numFmtId="49" fontId="16" fillId="0" borderId="0" applyAlignment="1" pivotButton="0" quotePrefix="0" xfId="0">
      <alignment vertical="top" wrapText="1"/>
    </xf>
    <xf numFmtId="0" fontId="16" fillId="0" borderId="0" pivotButton="0" quotePrefix="0" xfId="0"/>
    <xf numFmtId="0" fontId="8" fillId="0" borderId="1" applyAlignment="1" pivotButton="0" quotePrefix="0" xfId="1">
      <alignment wrapText="1" shrinkToFit="1"/>
    </xf>
    <xf numFmtId="4" fontId="17" fillId="0" borderId="0" applyAlignment="1" pivotButton="0" quotePrefix="0" xfId="1">
      <alignment wrapText="1" shrinkToFit="1"/>
    </xf>
    <xf numFmtId="0" fontId="8" fillId="0" borderId="0" applyAlignment="1" pivotButton="0" quotePrefix="0" xfId="1">
      <alignment wrapText="1" shrinkToFit="1"/>
    </xf>
    <xf numFmtId="0" fontId="13" fillId="0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wrapText="1"/>
    </xf>
    <xf numFmtId="0" fontId="12" fillId="0" borderId="5" applyAlignment="1" pivotButton="0" quotePrefix="0" xfId="0">
      <alignment horizontal="center" wrapText="1"/>
    </xf>
    <xf numFmtId="49" fontId="11" fillId="0" borderId="3" applyAlignment="1" pivotButton="0" quotePrefix="0" xfId="0">
      <alignment horizontal="center" vertical="top" wrapText="1"/>
    </xf>
    <xf numFmtId="0" fontId="11" fillId="0" borderId="3" applyAlignment="1" pivotButton="0" quotePrefix="0" xfId="0">
      <alignment horizontal="left" vertical="top" wrapText="1"/>
    </xf>
    <xf numFmtId="0" fontId="11" fillId="0" borderId="3" applyAlignment="1" pivotButton="0" quotePrefix="0" xfId="0">
      <alignment horizontal="center" vertical="top" wrapText="1"/>
    </xf>
    <xf numFmtId="166" fontId="11" fillId="0" borderId="3" applyAlignment="1" pivotButton="0" quotePrefix="0" xfId="0">
      <alignment horizontal="right" vertical="top" wrapText="1"/>
    </xf>
    <xf numFmtId="0" fontId="11" fillId="0" borderId="8" pivotButton="0" quotePrefix="0" xfId="0"/>
    <xf numFmtId="0" fontId="11" fillId="0" borderId="8" applyAlignment="1" pivotButton="0" quotePrefix="0" xfId="0">
      <alignment wrapText="1"/>
    </xf>
    <xf numFmtId="49" fontId="21" fillId="0" borderId="8" applyAlignment="1" pivotButton="0" quotePrefix="0" xfId="0">
      <alignment wrapText="1"/>
    </xf>
    <xf numFmtId="49" fontId="21" fillId="0" borderId="8" applyAlignment="1" pivotButton="0" quotePrefix="0" xfId="0">
      <alignment horizontal="center" wrapText="1"/>
    </xf>
    <xf numFmtId="49" fontId="21" fillId="0" borderId="8" applyAlignment="1" pivotButton="0" quotePrefix="0" xfId="0">
      <alignment horizontal="right" wrapText="1"/>
    </xf>
    <xf numFmtId="0" fontId="11" fillId="0" borderId="4" applyAlignment="1" pivotButton="0" quotePrefix="0" xfId="0">
      <alignment vertical="top"/>
    </xf>
    <xf numFmtId="165" fontId="22" fillId="0" borderId="4" applyAlignment="1" pivotButton="0" quotePrefix="0" xfId="0">
      <alignment horizontal="right" vertical="top"/>
    </xf>
    <xf numFmtId="49" fontId="22" fillId="0" borderId="0" applyAlignment="1" pivotButton="0" quotePrefix="0" xfId="0">
      <alignment horizontal="right"/>
    </xf>
    <xf numFmtId="165" fontId="11" fillId="0" borderId="4" applyAlignment="1" pivotButton="0" quotePrefix="0" xfId="0">
      <alignment horizontal="right" vertical="top"/>
    </xf>
    <xf numFmtId="165" fontId="11" fillId="0" borderId="3" applyAlignment="1" pivotButton="0" quotePrefix="0" xfId="0">
      <alignment horizontal="right" vertical="top" wrapText="1"/>
    </xf>
    <xf numFmtId="0" fontId="3" fillId="0" borderId="0" pivotButton="0" quotePrefix="0" xfId="3"/>
    <xf numFmtId="0" fontId="4" fillId="0" borderId="0" applyAlignment="1" pivotButton="0" quotePrefix="0" xfId="3">
      <alignment horizontal="center" vertical="top"/>
    </xf>
    <xf numFmtId="0" fontId="7" fillId="0" borderId="0" applyAlignment="1" pivotButton="0" quotePrefix="0" xfId="3">
      <alignment horizontal="right"/>
    </xf>
    <xf numFmtId="49" fontId="9" fillId="0" borderId="0" applyAlignment="1" pivotButton="0" quotePrefix="0" xfId="3">
      <alignment horizontal="right"/>
    </xf>
    <xf numFmtId="0" fontId="10" fillId="0" borderId="0" pivotButton="0" quotePrefix="0" xfId="3"/>
    <xf numFmtId="0" fontId="10" fillId="0" borderId="0" pivotButton="0" quotePrefix="0" xfId="4"/>
    <xf numFmtId="0" fontId="8" fillId="0" borderId="0" applyAlignment="1" pivotButton="0" quotePrefix="0" xfId="4">
      <alignment horizontal="center" vertical="top" wrapText="1"/>
    </xf>
    <xf numFmtId="0" fontId="13" fillId="0" borderId="0" applyAlignment="1" pivotButton="0" quotePrefix="0" xfId="4">
      <alignment horizontal="left" vertical="center" wrapText="1"/>
    </xf>
    <xf numFmtId="0" fontId="11" fillId="0" borderId="0" pivotButton="0" quotePrefix="0" xfId="4"/>
    <xf numFmtId="0" fontId="13" fillId="0" borderId="3" applyAlignment="1" pivotButton="0" quotePrefix="0" xfId="4">
      <alignment horizontal="center" vertical="center" wrapText="1"/>
    </xf>
    <xf numFmtId="0" fontId="12" fillId="0" borderId="4" applyAlignment="1" pivotButton="0" quotePrefix="0" xfId="4">
      <alignment horizontal="center" wrapText="1"/>
    </xf>
    <xf numFmtId="0" fontId="12" fillId="0" borderId="5" applyAlignment="1" pivotButton="0" quotePrefix="0" xfId="4">
      <alignment horizontal="center" wrapText="1"/>
    </xf>
    <xf numFmtId="49" fontId="11" fillId="0" borderId="3" applyAlignment="1" pivotButton="0" quotePrefix="0" xfId="4">
      <alignment horizontal="center" vertical="top" wrapText="1"/>
    </xf>
    <xf numFmtId="0" fontId="11" fillId="0" borderId="3" applyAlignment="1" pivotButton="0" quotePrefix="0" xfId="4">
      <alignment horizontal="left" vertical="top" wrapText="1"/>
    </xf>
    <xf numFmtId="0" fontId="11" fillId="0" borderId="3" applyAlignment="1" pivotButton="0" quotePrefix="0" xfId="4">
      <alignment horizontal="center" vertical="top" wrapText="1"/>
    </xf>
    <xf numFmtId="166" fontId="11" fillId="0" borderId="3" applyAlignment="1" pivotButton="0" quotePrefix="0" xfId="4">
      <alignment horizontal="right" vertical="top" wrapText="1"/>
    </xf>
    <xf numFmtId="0" fontId="11" fillId="0" borderId="8" pivotButton="0" quotePrefix="0" xfId="4"/>
    <xf numFmtId="0" fontId="11" fillId="0" borderId="8" applyAlignment="1" pivotButton="0" quotePrefix="0" xfId="4">
      <alignment wrapText="1"/>
    </xf>
    <xf numFmtId="49" fontId="21" fillId="0" borderId="8" applyAlignment="1" pivotButton="0" quotePrefix="0" xfId="4">
      <alignment wrapText="1"/>
    </xf>
    <xf numFmtId="49" fontId="21" fillId="0" borderId="8" applyAlignment="1" pivotButton="0" quotePrefix="0" xfId="4">
      <alignment horizontal="center" wrapText="1"/>
    </xf>
    <xf numFmtId="49" fontId="21" fillId="0" borderId="8" applyAlignment="1" pivotButton="0" quotePrefix="0" xfId="4">
      <alignment horizontal="right" wrapText="1"/>
    </xf>
    <xf numFmtId="0" fontId="11" fillId="0" borderId="4" applyAlignment="1" pivotButton="0" quotePrefix="0" xfId="4">
      <alignment vertical="top"/>
    </xf>
    <xf numFmtId="165" fontId="22" fillId="0" borderId="4" applyAlignment="1" pivotButton="0" quotePrefix="0" xfId="4">
      <alignment horizontal="right" vertical="top"/>
    </xf>
    <xf numFmtId="49" fontId="22" fillId="0" borderId="0" applyAlignment="1" pivotButton="0" quotePrefix="0" xfId="4">
      <alignment horizontal="right"/>
    </xf>
    <xf numFmtId="167" fontId="11" fillId="0" borderId="3" applyAlignment="1" pivotButton="0" quotePrefix="0" xfId="4">
      <alignment horizontal="right" vertical="top" wrapText="1"/>
    </xf>
    <xf numFmtId="165" fontId="11" fillId="0" borderId="4" applyAlignment="1" pivotButton="0" quotePrefix="0" xfId="4">
      <alignment horizontal="right" vertical="top"/>
    </xf>
    <xf numFmtId="0" fontId="11" fillId="0" borderId="0" applyAlignment="1" pivotButton="0" quotePrefix="0" xfId="4">
      <alignment horizontal="center" vertical="top" wrapText="1"/>
    </xf>
    <xf numFmtId="0" fontId="11" fillId="0" borderId="0" applyAlignment="1" pivotButton="0" quotePrefix="0" xfId="4">
      <alignment horizontal="left" vertical="center" wrapText="1"/>
    </xf>
    <xf numFmtId="0" fontId="24" fillId="0" borderId="0" applyAlignment="1" pivotButton="0" quotePrefix="0" xfId="5">
      <alignment vertical="center"/>
    </xf>
    <xf numFmtId="0" fontId="24" fillId="0" borderId="0" applyAlignment="1" pivotButton="0" quotePrefix="0" xfId="5">
      <alignment horizontal="center" vertical="center"/>
    </xf>
    <xf numFmtId="165" fontId="24" fillId="0" borderId="0" applyAlignment="1" pivotButton="0" quotePrefix="0" xfId="5">
      <alignment vertical="center"/>
    </xf>
    <xf numFmtId="164" fontId="24" fillId="0" borderId="0" applyAlignment="1" pivotButton="0" quotePrefix="0" xfId="1">
      <alignment horizontal="right" vertical="center"/>
    </xf>
    <xf numFmtId="49" fontId="7" fillId="0" borderId="0" applyAlignment="1" pivotButton="0" quotePrefix="0" xfId="1">
      <alignment vertical="center"/>
    </xf>
    <xf numFmtId="0" fontId="7" fillId="0" borderId="0" applyAlignment="1" pivotButton="0" quotePrefix="0" xfId="5">
      <alignment vertical="center"/>
    </xf>
    <xf numFmtId="0" fontId="25" fillId="0" borderId="0" applyAlignment="1" pivotButton="0" quotePrefix="0" xfId="5">
      <alignment vertical="center"/>
    </xf>
    <xf numFmtId="0" fontId="26" fillId="0" borderId="0" applyAlignment="1" pivotButton="0" quotePrefix="0" xfId="5">
      <alignment vertical="center"/>
    </xf>
    <xf numFmtId="0" fontId="27" fillId="0" borderId="0" applyAlignment="1" pivotButton="0" quotePrefix="0" xfId="2">
      <alignment horizontal="right" vertical="center" wrapText="1"/>
    </xf>
    <xf numFmtId="0" fontId="7" fillId="0" borderId="0" applyAlignment="1" pivotButton="0" quotePrefix="0" xfId="2">
      <alignment vertical="center" wrapText="1"/>
    </xf>
    <xf numFmtId="0" fontId="7" fillId="0" borderId="0" applyAlignment="1" pivotButton="0" quotePrefix="0" xfId="1">
      <alignment horizontal="right" vertical="center" wrapText="1"/>
    </xf>
    <xf numFmtId="0" fontId="7" fillId="0" borderId="0" applyAlignment="1" pivotButton="0" quotePrefix="0" xfId="1">
      <alignment vertical="center"/>
    </xf>
    <xf numFmtId="49" fontId="7" fillId="0" borderId="0" applyAlignment="1" pivotButton="0" quotePrefix="0" xfId="5">
      <alignment vertical="center"/>
    </xf>
    <xf numFmtId="0" fontId="24" fillId="0" borderId="0" pivotButton="0" quotePrefix="0" xfId="5"/>
    <xf numFmtId="0" fontId="24" fillId="0" borderId="0" applyAlignment="1" pivotButton="0" quotePrefix="0" xfId="5">
      <alignment horizontal="center"/>
    </xf>
    <xf numFmtId="165" fontId="24" fillId="0" borderId="0" pivotButton="0" quotePrefix="0" xfId="5"/>
    <xf numFmtId="0" fontId="7" fillId="0" borderId="0" pivotButton="0" quotePrefix="0" xfId="5"/>
    <xf numFmtId="0" fontId="25" fillId="0" borderId="0" pivotButton="0" quotePrefix="0" xfId="5"/>
    <xf numFmtId="0" fontId="26" fillId="0" borderId="0" pivotButton="0" quotePrefix="0" xfId="5"/>
    <xf numFmtId="3" fontId="29" fillId="0" borderId="0" applyAlignment="1" pivotButton="0" quotePrefix="0" xfId="1">
      <alignment horizontal="left" wrapText="1" shrinkToFit="1"/>
    </xf>
    <xf numFmtId="3" fontId="29" fillId="0" borderId="0" applyAlignment="1" pivotButton="0" quotePrefix="0" xfId="1">
      <alignment horizontal="center" wrapText="1" shrinkToFit="1"/>
    </xf>
    <xf numFmtId="165" fontId="29" fillId="0" borderId="0" applyAlignment="1" pivotButton="0" quotePrefix="0" xfId="1">
      <alignment horizontal="left" wrapText="1" shrinkToFit="1"/>
    </xf>
    <xf numFmtId="0" fontId="6" fillId="0" borderId="0" applyAlignment="1" pivotButton="0" quotePrefix="0" xfId="5">
      <alignment vertical="center"/>
    </xf>
    <xf numFmtId="0" fontId="33" fillId="0" borderId="0" applyAlignment="1" pivotButton="0" quotePrefix="0" xfId="5">
      <alignment vertical="center"/>
    </xf>
    <xf numFmtId="0" fontId="34" fillId="0" borderId="0" applyAlignment="1" pivotButton="0" quotePrefix="0" xfId="5">
      <alignment vertical="center"/>
    </xf>
    <xf numFmtId="165" fontId="19" fillId="0" borderId="4" applyAlignment="1" pivotButton="0" quotePrefix="0" xfId="1">
      <alignment horizontal="center" vertical="center" wrapText="1" shrinkToFit="1"/>
    </xf>
    <xf numFmtId="165" fontId="6" fillId="0" borderId="4" applyAlignment="1" pivotButton="0" quotePrefix="0" xfId="5">
      <alignment horizontal="center" vertical="center"/>
    </xf>
    <xf numFmtId="1" fontId="19" fillId="0" borderId="4" applyAlignment="1" pivotButton="0" quotePrefix="0" xfId="1">
      <alignment horizontal="center" vertical="center" wrapText="1" shrinkToFit="1"/>
    </xf>
    <xf numFmtId="0" fontId="35" fillId="0" borderId="4" applyAlignment="1" pivotButton="0" quotePrefix="0" xfId="5">
      <alignment horizontal="center" vertical="center"/>
    </xf>
    <xf numFmtId="0" fontId="35" fillId="0" borderId="4" applyAlignment="1" pivotButton="0" quotePrefix="0" xfId="5">
      <alignment horizontal="center" vertical="center" wrapText="1"/>
    </xf>
    <xf numFmtId="165" fontId="35" fillId="0" borderId="4" applyAlignment="1" pivotButton="0" quotePrefix="0" xfId="5">
      <alignment vertical="center"/>
    </xf>
    <xf numFmtId="165" fontId="36" fillId="0" borderId="0" applyAlignment="1" pivotButton="0" quotePrefix="0" xfId="5">
      <alignment vertical="center"/>
    </xf>
    <xf numFmtId="0" fontId="35" fillId="0" borderId="0" applyAlignment="1" pivotButton="0" quotePrefix="0" xfId="5">
      <alignment vertical="center"/>
    </xf>
    <xf numFmtId="0" fontId="35" fillId="0" borderId="0" applyAlignment="1" pivotButton="0" quotePrefix="0" xfId="5">
      <alignment vertical="center" wrapText="1"/>
    </xf>
    <xf numFmtId="165" fontId="35" fillId="0" borderId="0" applyAlignment="1" pivotButton="0" quotePrefix="0" xfId="5">
      <alignment vertical="center"/>
    </xf>
    <xf numFmtId="0" fontId="37" fillId="0" borderId="0" applyAlignment="1" pivotButton="0" quotePrefix="0" xfId="5">
      <alignment vertical="center"/>
    </xf>
    <xf numFmtId="4" fontId="38" fillId="0" borderId="0" applyAlignment="1" pivotButton="0" quotePrefix="0" xfId="5">
      <alignment vertical="center"/>
    </xf>
    <xf numFmtId="49" fontId="24" fillId="0" borderId="4" applyAlignment="1" pivotButton="0" quotePrefix="0" xfId="5">
      <alignment horizontal="center" vertical="center"/>
    </xf>
    <xf numFmtId="0" fontId="24" fillId="0" borderId="4" applyAlignment="1" pivotButton="0" quotePrefix="0" xfId="5">
      <alignment horizontal="left" vertical="center" wrapText="1"/>
    </xf>
    <xf numFmtId="165" fontId="24" fillId="0" borderId="4" applyAlignment="1" pivotButton="0" quotePrefix="0" xfId="5">
      <alignment vertical="center"/>
    </xf>
    <xf numFmtId="0" fontId="24" fillId="0" borderId="0" applyAlignment="1" pivotButton="0" quotePrefix="0" xfId="5">
      <alignment vertical="center" wrapText="1"/>
    </xf>
    <xf numFmtId="4" fontId="26" fillId="0" borderId="0" applyAlignment="1" pivotButton="0" quotePrefix="0" xfId="5">
      <alignment vertical="center"/>
    </xf>
    <xf numFmtId="0" fontId="36" fillId="0" borderId="0" applyAlignment="1" pivotButton="0" quotePrefix="0" xfId="5">
      <alignment vertical="center"/>
    </xf>
    <xf numFmtId="0" fontId="38" fillId="0" borderId="0" applyAlignment="1" pivotButton="0" quotePrefix="0" xfId="5">
      <alignment vertical="center"/>
    </xf>
    <xf numFmtId="0" fontId="24" fillId="0" borderId="2" applyAlignment="1" pivotButton="0" quotePrefix="0" xfId="5">
      <alignment vertical="center"/>
    </xf>
    <xf numFmtId="0" fontId="24" fillId="0" borderId="2" applyAlignment="1" pivotButton="0" quotePrefix="0" xfId="5">
      <alignment horizontal="center" vertical="center"/>
    </xf>
    <xf numFmtId="165" fontId="24" fillId="0" borderId="2" applyAlignment="1" pivotButton="0" quotePrefix="0" xfId="5">
      <alignment vertical="center"/>
    </xf>
    <xf numFmtId="0" fontId="35" fillId="0" borderId="0" applyAlignment="1" pivotButton="0" quotePrefix="0" xfId="5">
      <alignment horizontal="center" vertical="center"/>
    </xf>
    <xf numFmtId="0" fontId="28" fillId="0" borderId="1" applyAlignment="1" pivotButton="0" quotePrefix="0" xfId="1">
      <alignment wrapText="1" shrinkToFit="1"/>
    </xf>
    <xf numFmtId="4" fontId="36" fillId="0" borderId="0" applyAlignment="1" pivotButton="0" quotePrefix="0" xfId="1">
      <alignment wrapText="1" shrinkToFit="1"/>
    </xf>
    <xf numFmtId="0" fontId="5" fillId="0" borderId="0" applyAlignment="1" pivotButton="0" quotePrefix="0" xfId="1">
      <alignment wrapText="1" shrinkToFit="1"/>
    </xf>
    <xf numFmtId="0" fontId="39" fillId="0" borderId="1" applyAlignment="1" pivotButton="0" quotePrefix="0" xfId="1">
      <alignment wrapText="1" shrinkToFit="1"/>
    </xf>
    <xf numFmtId="0" fontId="39" fillId="0" borderId="0" applyAlignment="1" pivotButton="0" quotePrefix="0" xfId="1">
      <alignment wrapText="1" shrinkToFit="1"/>
    </xf>
    <xf numFmtId="0" fontId="12" fillId="0" borderId="0" applyAlignment="1" pivotButton="0" quotePrefix="0" xfId="4">
      <alignment vertical="top"/>
    </xf>
    <xf numFmtId="0" fontId="13" fillId="0" borderId="0" pivotButton="0" quotePrefix="0" xfId="4"/>
    <xf numFmtId="0" fontId="14" fillId="0" borderId="0" pivotButton="0" quotePrefix="0" xfId="4"/>
    <xf numFmtId="0" fontId="12" fillId="0" borderId="0" pivotButton="0" quotePrefix="0" xfId="4"/>
    <xf numFmtId="0" fontId="13" fillId="0" borderId="0" applyAlignment="1" pivotButton="0" quotePrefix="0" xfId="4">
      <alignment horizontal="left" indent="1"/>
    </xf>
    <xf numFmtId="49" fontId="22" fillId="0" borderId="4" applyAlignment="1" pivotButton="0" quotePrefix="0" xfId="4">
      <alignment horizontal="right" vertical="top"/>
    </xf>
    <xf numFmtId="0" fontId="15" fillId="0" borderId="1" applyAlignment="1" pivotButton="0" quotePrefix="0" xfId="4">
      <alignment vertical="center"/>
    </xf>
    <xf numFmtId="0" fontId="15" fillId="0" borderId="0" applyAlignment="1" pivotButton="0" quotePrefix="0" xfId="4">
      <alignment horizontal="left" vertical="center"/>
    </xf>
    <xf numFmtId="0" fontId="6" fillId="0" borderId="0" pivotButton="0" quotePrefix="0" xfId="4"/>
    <xf numFmtId="0" fontId="4" fillId="0" borderId="0" pivotButton="0" quotePrefix="0" xfId="4"/>
    <xf numFmtId="0" fontId="4" fillId="0" borderId="1" pivotButton="0" quotePrefix="0" xfId="4"/>
    <xf numFmtId="0" fontId="16" fillId="0" borderId="0" applyAlignment="1" pivotButton="0" quotePrefix="0" xfId="4">
      <alignment vertical="center"/>
    </xf>
    <xf numFmtId="0" fontId="11" fillId="0" borderId="0" applyAlignment="1" pivotButton="0" quotePrefix="0" xfId="4">
      <alignment vertical="center"/>
    </xf>
    <xf numFmtId="0" fontId="11" fillId="0" borderId="0" applyAlignment="1" pivotButton="0" quotePrefix="0" xfId="4">
      <alignment vertical="center" wrapText="1"/>
    </xf>
    <xf numFmtId="0" fontId="6" fillId="0" borderId="0" applyAlignment="1" pivotButton="0" quotePrefix="0" xfId="4">
      <alignment vertical="center"/>
    </xf>
    <xf numFmtId="0" fontId="6" fillId="0" borderId="0" applyAlignment="1" pivotButton="0" quotePrefix="0" xfId="4">
      <alignment horizontal="center" vertical="center"/>
    </xf>
    <xf numFmtId="165" fontId="6" fillId="0" borderId="0" applyAlignment="1" pivotButton="0" quotePrefix="0" xfId="4">
      <alignment vertical="center"/>
    </xf>
    <xf numFmtId="0" fontId="9" fillId="0" borderId="0" pivotButton="0" quotePrefix="0" xfId="4"/>
    <xf numFmtId="0" fontId="16" fillId="0" borderId="0" applyAlignment="1" pivotButton="0" quotePrefix="0" xfId="4">
      <alignment wrapText="1"/>
    </xf>
    <xf numFmtId="0" fontId="11" fillId="0" borderId="0" applyAlignment="1" pivotButton="0" quotePrefix="0" xfId="4">
      <alignment wrapText="1"/>
    </xf>
    <xf numFmtId="49" fontId="16" fillId="0" borderId="0" applyAlignment="1" pivotButton="0" quotePrefix="0" xfId="4">
      <alignment vertical="top" wrapText="1"/>
    </xf>
    <xf numFmtId="0" fontId="16" fillId="0" borderId="0" pivotButton="0" quotePrefix="0" xfId="4"/>
    <xf numFmtId="49" fontId="12" fillId="0" borderId="0" applyAlignment="1" pivotButton="0" quotePrefix="0" xfId="4">
      <alignment vertical="top" wrapText="1"/>
    </xf>
    <xf numFmtId="168" fontId="11" fillId="0" borderId="3" applyAlignment="1" pivotButton="0" quotePrefix="0" xfId="0">
      <alignment horizontal="right" vertical="top" wrapText="1"/>
    </xf>
    <xf numFmtId="0" fontId="28" fillId="0" borderId="0" applyAlignment="1" pivotButton="0" quotePrefix="0" xfId="1">
      <alignment horizontal="left" shrinkToFit="1"/>
    </xf>
    <xf numFmtId="0" fontId="18" fillId="0" borderId="2" applyAlignment="1" pivotButton="0" quotePrefix="0" xfId="1">
      <alignment horizontal="center" vertical="top" wrapText="1" shrinkToFit="1"/>
    </xf>
    <xf numFmtId="0" fontId="39" fillId="0" borderId="0" applyAlignment="1" pivotButton="0" quotePrefix="0" xfId="1">
      <alignment horizontal="left" wrapText="1" shrinkToFit="1"/>
    </xf>
    <xf numFmtId="4" fontId="28" fillId="0" borderId="0" applyAlignment="1" pivotButton="0" quotePrefix="0" xfId="1">
      <alignment horizontal="left" wrapText="1" shrinkToFit="1"/>
    </xf>
    <xf numFmtId="0" fontId="24" fillId="0" borderId="5" applyAlignment="1" pivotButton="0" quotePrefix="0" xfId="5">
      <alignment horizontal="left" vertical="center" wrapText="1"/>
    </xf>
    <xf numFmtId="0" fontId="24" fillId="0" borderId="7" applyAlignment="1" pivotButton="0" quotePrefix="0" xfId="5">
      <alignment horizontal="left" vertical="center" wrapText="1"/>
    </xf>
    <xf numFmtId="0" fontId="35" fillId="0" borderId="4" applyAlignment="1" pivotButton="0" quotePrefix="0" xfId="5">
      <alignment horizontal="right" vertical="center"/>
    </xf>
    <xf numFmtId="0" fontId="24" fillId="0" borderId="4" applyAlignment="1" pivotButton="0" quotePrefix="0" xfId="5">
      <alignment horizontal="right" vertical="center"/>
    </xf>
    <xf numFmtId="0" fontId="35" fillId="0" borderId="0" applyAlignment="1" pivotButton="0" quotePrefix="0" xfId="5">
      <alignment horizontal="right" vertical="center"/>
    </xf>
    <xf numFmtId="0" fontId="28" fillId="0" borderId="0" applyAlignment="1" pivotButton="0" quotePrefix="0" xfId="1">
      <alignment horizontal="left" wrapText="1" shrinkToFit="1"/>
    </xf>
    <xf numFmtId="0" fontId="35" fillId="0" borderId="5" applyAlignment="1" pivotButton="0" quotePrefix="0" xfId="5">
      <alignment horizontal="left" vertical="center" wrapText="1"/>
    </xf>
    <xf numFmtId="0" fontId="35" fillId="0" borderId="7" applyAlignment="1" pivotButton="0" quotePrefix="0" xfId="5">
      <alignment horizontal="left" vertical="center" wrapText="1"/>
    </xf>
    <xf numFmtId="3" fontId="28" fillId="0" borderId="0" applyAlignment="1" pivotButton="0" quotePrefix="0" xfId="1">
      <alignment horizontal="center" vertical="center" wrapText="1" shrinkToFit="1"/>
    </xf>
    <xf numFmtId="3" fontId="29" fillId="0" borderId="0" applyAlignment="1" pivotButton="0" quotePrefix="0" xfId="1">
      <alignment horizontal="left" wrapText="1" shrinkToFit="1"/>
    </xf>
    <xf numFmtId="3" fontId="30" fillId="0" borderId="0" applyAlignment="1" pivotButton="0" quotePrefix="0" xfId="1">
      <alignment horizontal="left" wrapText="1" shrinkToFit="1"/>
    </xf>
    <xf numFmtId="0" fontId="32" fillId="0" borderId="0" applyAlignment="1" pivotButton="0" quotePrefix="0" xfId="1">
      <alignment horizontal="left" wrapText="1" shrinkToFit="1"/>
    </xf>
    <xf numFmtId="0" fontId="27" fillId="0" borderId="0" applyAlignment="1" pivotButton="0" quotePrefix="0" xfId="1">
      <alignment horizontal="left" wrapText="1" shrinkToFit="1"/>
    </xf>
    <xf numFmtId="3" fontId="19" fillId="0" borderId="4" applyAlignment="1" pivotButton="0" quotePrefix="0" xfId="1">
      <alignment horizontal="center" vertical="center" wrapText="1" shrinkToFit="1"/>
    </xf>
    <xf numFmtId="4" fontId="19" fillId="0" borderId="4" applyAlignment="1" pivotButton="0" quotePrefix="0" xfId="1">
      <alignment horizontal="center" vertical="center" wrapText="1" shrinkToFit="1"/>
    </xf>
    <xf numFmtId="165" fontId="4" fillId="0" borderId="4" applyAlignment="1" pivotButton="0" quotePrefix="0" xfId="1">
      <alignment horizontal="center" vertical="center" wrapText="1" shrinkToFit="1"/>
    </xf>
    <xf numFmtId="1" fontId="19" fillId="0" borderId="4" applyAlignment="1" pivotButton="0" quotePrefix="0" xfId="1">
      <alignment horizontal="center" vertical="center" wrapText="1" shrinkToFit="1"/>
    </xf>
    <xf numFmtId="0" fontId="8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top"/>
    </xf>
    <xf numFmtId="0" fontId="13" fillId="0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top"/>
    </xf>
    <xf numFmtId="0" fontId="17" fillId="0" borderId="0" applyAlignment="1" pivotButton="0" quotePrefix="0" xfId="1">
      <alignment horizontal="left" wrapText="1" shrinkToFit="1"/>
    </xf>
    <xf numFmtId="4" fontId="19" fillId="0" borderId="0" applyAlignment="1" pivotButton="0" quotePrefix="0" xfId="1">
      <alignment horizontal="left" wrapText="1" shrinkToFit="1"/>
    </xf>
    <xf numFmtId="0" fontId="20" fillId="0" borderId="5" applyAlignment="1" pivotButton="0" quotePrefix="0" xfId="0">
      <alignment horizontal="left" vertical="center" wrapText="1"/>
    </xf>
    <xf numFmtId="0" fontId="20" fillId="0" borderId="6" applyAlignment="1" pivotButton="0" quotePrefix="0" xfId="0">
      <alignment horizontal="left" vertical="center" wrapText="1"/>
    </xf>
    <xf numFmtId="0" fontId="20" fillId="0" borderId="7" applyAlignment="1" pivotButton="0" quotePrefix="0" xfId="0">
      <alignment horizontal="left" vertical="center" wrapText="1"/>
    </xf>
    <xf numFmtId="49" fontId="22" fillId="0" borderId="4" applyAlignment="1" pivotButton="0" quotePrefix="0" xfId="0">
      <alignment horizontal="left" vertical="top" wrapText="1"/>
    </xf>
    <xf numFmtId="0" fontId="8" fillId="0" borderId="0" applyAlignment="1" pivotButton="0" quotePrefix="0" xfId="1">
      <alignment horizontal="left" wrapText="1" shrinkToFit="1"/>
    </xf>
    <xf numFmtId="4" fontId="17" fillId="0" borderId="0" applyAlignment="1" pivotButton="0" quotePrefix="0" xfId="1">
      <alignment horizontal="left" wrapText="1" shrinkToFit="1"/>
    </xf>
    <xf numFmtId="49" fontId="11" fillId="0" borderId="4" applyAlignment="1" pivotButton="0" quotePrefix="0" xfId="0">
      <alignment horizontal="left" vertical="top" wrapText="1"/>
    </xf>
    <xf numFmtId="0" fontId="8" fillId="0" borderId="0" applyAlignment="1" pivotButton="0" quotePrefix="0" xfId="3">
      <alignment horizontal="center"/>
    </xf>
    <xf numFmtId="49" fontId="22" fillId="0" borderId="4" applyAlignment="1" pivotButton="0" quotePrefix="0" xfId="4">
      <alignment horizontal="left" vertical="top" wrapText="1"/>
    </xf>
    <xf numFmtId="0" fontId="4" fillId="0" borderId="0" applyAlignment="1" pivotButton="0" quotePrefix="0" xfId="4">
      <alignment horizontal="center"/>
    </xf>
    <xf numFmtId="0" fontId="8" fillId="0" borderId="1" applyAlignment="1" pivotButton="0" quotePrefix="0" xfId="4">
      <alignment horizontal="center" vertical="top" wrapText="1"/>
    </xf>
    <xf numFmtId="0" fontId="11" fillId="0" borderId="2" applyAlignment="1" pivotButton="0" quotePrefix="0" xfId="4">
      <alignment horizontal="center" vertical="top"/>
    </xf>
    <xf numFmtId="0" fontId="13" fillId="0" borderId="1" applyAlignment="1" pivotButton="0" quotePrefix="0" xfId="4">
      <alignment horizontal="left" vertical="center" wrapText="1"/>
    </xf>
    <xf numFmtId="0" fontId="20" fillId="0" borderId="5" applyAlignment="1" pivotButton="0" quotePrefix="0" xfId="4">
      <alignment horizontal="left" vertical="center" wrapText="1"/>
    </xf>
    <xf numFmtId="0" fontId="20" fillId="0" borderId="6" applyAlignment="1" pivotButton="0" quotePrefix="0" xfId="4">
      <alignment horizontal="left" vertical="center" wrapText="1"/>
    </xf>
    <xf numFmtId="0" fontId="20" fillId="0" borderId="7" applyAlignment="1" pivotButton="0" quotePrefix="0" xfId="4">
      <alignment horizontal="left" vertical="center" wrapText="1"/>
    </xf>
    <xf numFmtId="49" fontId="11" fillId="0" borderId="4" applyAlignment="1" pivotButton="0" quotePrefix="0" xfId="4">
      <alignment horizontal="left" vertical="top" wrapText="1"/>
    </xf>
    <xf numFmtId="0" fontId="6" fillId="0" borderId="2" applyAlignment="1" pivotButton="0" quotePrefix="0" xfId="4">
      <alignment horizontal="center" vertical="top"/>
    </xf>
    <xf numFmtId="164" fontId="24" fillId="0" borderId="0" applyAlignment="1" pivotButton="0" quotePrefix="0" xfId="1">
      <alignment horizontal="right" vertical="center"/>
    </xf>
    <xf numFmtId="0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35" fillId="0" borderId="4" applyAlignment="1" pivotButton="0" quotePrefix="0" xfId="5">
      <alignment horizontal="left" vertical="center" wrapText="1"/>
    </xf>
    <xf numFmtId="0" fontId="0" fillId="0" borderId="2" pivotButton="0" quotePrefix="0" xfId="0"/>
    <xf numFmtId="164" fontId="6" fillId="0" borderId="0" applyAlignment="1" pivotButton="0" quotePrefix="0" xfId="1">
      <alignment horizontal="right" vertical="center"/>
    </xf>
    <xf numFmtId="0" fontId="0" fillId="0" borderId="1" pivotButton="0" quotePrefix="0" xfId="0"/>
    <xf numFmtId="0" fontId="20" fillId="0" borderId="4" applyAlignment="1" pivotButton="0" quotePrefix="0" xfId="0">
      <alignment horizontal="left" vertical="center" wrapText="1"/>
    </xf>
    <xf numFmtId="166" fontId="11" fillId="0" borderId="3" applyAlignment="1" pivotButton="0" quotePrefix="0" xfId="0">
      <alignment horizontal="right" vertical="top" wrapText="1"/>
    </xf>
  </cellXfs>
  <cellStyles count="6">
    <cellStyle name="Обычный" xfId="0" builtinId="0"/>
    <cellStyle name="Обычный 2" xfId="1"/>
    <cellStyle name="Обычный 3" xfId="2"/>
    <cellStyle name="Обычный 5" xfId="3"/>
    <cellStyle name="Обычный 4" xfId="4"/>
    <cellStyle name="Обычный 6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tabSelected="1" view="pageBreakPreview" zoomScale="90" zoomScaleNormal="100" zoomScaleSheetLayoutView="90" workbookViewId="0">
      <selection activeCell="H2" sqref="H2"/>
    </sheetView>
  </sheetViews>
  <sheetFormatPr baseColWidth="8" defaultRowHeight="15.75" outlineLevelRow="1"/>
  <cols>
    <col width="5.28515625" customWidth="1" style="89" min="1" max="1"/>
    <col width="20.5703125" customWidth="1" style="89" min="2" max="2"/>
    <col width="67.7109375" customWidth="1" style="89" min="3" max="3"/>
    <col width="18.7109375" customWidth="1" style="90" min="4" max="4"/>
    <col width="15.7109375" customWidth="1" style="91" min="5" max="7"/>
    <col width="12.42578125" customWidth="1" style="94" min="8" max="8"/>
    <col width="12.85546875" customWidth="1" style="94" min="9" max="9"/>
    <col width="10.85546875" bestFit="1" customWidth="1" style="89" min="10" max="10"/>
    <col width="10.7109375" bestFit="1" customWidth="1" style="89" min="11" max="11"/>
    <col hidden="1" width="90.7109375" customWidth="1" style="89" min="12" max="12"/>
    <col width="9.140625" customWidth="1" style="89" min="13" max="13"/>
    <col width="12.42578125" bestFit="1" customWidth="1" style="89" min="14" max="14"/>
    <col width="5.5703125" bestFit="1" customWidth="1" style="95" min="15" max="15"/>
    <col width="11.28515625" bestFit="1" customWidth="1" style="96" min="16" max="16"/>
    <col width="9.140625" customWidth="1" style="89" min="17" max="16384"/>
  </cols>
  <sheetData>
    <row r="1">
      <c r="G1" s="213">
        <f>CONCATENATE("Приложение №3.",H1)</f>
        <v/>
      </c>
      <c r="H1" s="93" t="n"/>
    </row>
    <row r="2">
      <c r="G2" s="97" t="n"/>
      <c r="H2" s="98" t="n"/>
      <c r="I2" s="98" t="n"/>
    </row>
    <row r="3">
      <c r="G3" s="213" t="n"/>
      <c r="H3" s="99" t="n"/>
    </row>
    <row r="4">
      <c r="G4" s="213" t="n"/>
      <c r="H4" s="100" t="n"/>
    </row>
    <row r="5"/>
    <row r="6"/>
    <row r="7">
      <c r="A7" s="178">
        <f>CONCATENATE("СВОДНАЯ СМЕТА №",H7)</f>
        <v/>
      </c>
      <c r="H7" s="101" t="n"/>
    </row>
    <row r="8">
      <c r="A8" s="178" t="n"/>
    </row>
    <row r="9" customFormat="1" s="102">
      <c r="D9" s="103" t="n"/>
      <c r="E9" s="104" t="n"/>
      <c r="F9" s="104" t="n"/>
      <c r="G9" s="104" t="n"/>
      <c r="H9" s="105" t="n"/>
      <c r="I9" s="105" t="n"/>
      <c r="O9" s="106" t="n"/>
      <c r="P9" s="107" t="n"/>
    </row>
    <row r="10" customFormat="1" s="102">
      <c r="A10" s="179" t="n"/>
      <c r="H10" s="105" t="n"/>
      <c r="I10" s="105" t="n"/>
      <c r="O10" s="106" t="n"/>
      <c r="P10" s="107" t="n"/>
    </row>
    <row r="11" ht="31.5" customFormat="1" customHeight="1" s="102">
      <c r="A11" s="180" t="n"/>
      <c r="H11" s="105" t="n"/>
      <c r="I11" s="105" t="n"/>
      <c r="O11" s="106" t="n"/>
      <c r="P11" s="107" t="n"/>
    </row>
    <row r="12" customFormat="1" s="102">
      <c r="A12" s="179" t="n"/>
      <c r="B12" s="179" t="n"/>
      <c r="C12" s="179" t="n"/>
      <c r="D12" s="109" t="n"/>
      <c r="E12" s="110" t="n"/>
      <c r="F12" s="110" t="n"/>
      <c r="G12" s="110" t="n"/>
      <c r="H12" s="105" t="n"/>
      <c r="I12" s="105" t="n"/>
      <c r="O12" s="106" t="n"/>
      <c r="P12" s="107" t="n"/>
    </row>
    <row r="13" customFormat="1" s="102">
      <c r="A13" s="181" t="n"/>
      <c r="H13" s="105" t="n"/>
      <c r="I13" s="105" t="n"/>
      <c r="O13" s="106" t="n"/>
      <c r="P13" s="107" t="n"/>
    </row>
    <row r="14" customFormat="1" s="102">
      <c r="A14" s="181" t="n"/>
      <c r="H14" s="105" t="n"/>
      <c r="I14" s="105" t="n"/>
      <c r="O14" s="106" t="n"/>
      <c r="P14" s="107" t="n"/>
    </row>
    <row r="15" customFormat="1" s="102">
      <c r="D15" s="103" t="n"/>
      <c r="E15" s="104" t="n"/>
      <c r="F15" s="104" t="n"/>
      <c r="G15" s="104" t="n"/>
      <c r="H15" s="105" t="n"/>
      <c r="I15" s="105" t="n"/>
      <c r="O15" s="106" t="n"/>
      <c r="P15" s="107" t="n"/>
    </row>
    <row r="16" ht="12.75" customFormat="1" customHeight="1" s="111">
      <c r="A16" s="183" t="n"/>
      <c r="B16" s="184" t="n"/>
      <c r="C16" s="214" t="n"/>
      <c r="D16" s="184" t="n"/>
      <c r="E16" s="185" t="n"/>
      <c r="F16" s="215" t="n"/>
      <c r="G16" s="216" t="n"/>
      <c r="H16" s="94" t="n"/>
      <c r="I16" s="94" t="n"/>
      <c r="O16" s="112" t="n"/>
      <c r="P16" s="113" t="n"/>
    </row>
    <row r="17" ht="25.5" customFormat="1" customHeight="1" s="111">
      <c r="A17" s="217" t="n"/>
      <c r="B17" s="218" t="n"/>
      <c r="C17" s="219" t="n"/>
      <c r="D17" s="217" t="n"/>
      <c r="E17" s="114" t="n"/>
      <c r="F17" s="114" t="n"/>
      <c r="G17" s="115" t="n"/>
      <c r="H17" s="94" t="n"/>
      <c r="I17" s="94" t="n"/>
      <c r="O17" s="112" t="n"/>
      <c r="P17" s="113" t="n"/>
    </row>
    <row r="18" ht="12.75" customFormat="1" customHeight="1" s="111">
      <c r="A18" s="186" t="n"/>
      <c r="B18" s="186" t="n"/>
      <c r="C18" s="216" t="n"/>
      <c r="D18" s="186" t="n"/>
      <c r="E18" s="186" t="n"/>
      <c r="F18" s="186" t="n"/>
      <c r="G18" s="186" t="n"/>
      <c r="H18" s="94" t="n"/>
      <c r="I18" s="94" t="n"/>
      <c r="O18" s="112" t="n"/>
      <c r="P18" s="113" t="n"/>
    </row>
    <row r="19" ht="47.25" customFormat="1" customHeight="1" s="121">
      <c r="A19" s="117" t="n"/>
      <c r="B19" s="220" t="n"/>
      <c r="C19" s="216" t="n"/>
      <c r="D19" s="118" t="n"/>
      <c r="E19" s="119">
        <f>SUM(E20:E25)</f>
        <v/>
      </c>
      <c r="F19" s="119">
        <f>SUM(F20:F25)</f>
        <v/>
      </c>
      <c r="G19" s="119">
        <f>SUM(G20:G25)</f>
        <v/>
      </c>
      <c r="H19" s="120">
        <f>SUM(G20:G24)</f>
        <v/>
      </c>
      <c r="I19" s="120">
        <f>H19-G19</f>
        <v/>
      </c>
      <c r="L19" s="122" t="n"/>
      <c r="M19" s="122" t="n"/>
      <c r="N19" s="123">
        <f>F20+F21</f>
        <v/>
      </c>
      <c r="O19" s="124" t="n"/>
      <c r="P19" s="125">
        <f>ROUND(N19/O19*1000,0)</f>
        <v/>
      </c>
    </row>
    <row r="20" outlineLevel="1" ht="31.5" customHeight="1">
      <c r="A20" s="126" t="n"/>
      <c r="B20" s="127" t="n"/>
      <c r="C20" s="216" t="n"/>
      <c r="D20" s="127">
        <f>CONCATENATE("Смета №",H7,".01.01")</f>
        <v/>
      </c>
      <c r="E20" s="128" t="n"/>
      <c r="F20" s="128">
        <f>'смета 04.01.01_ПД_без БИМ - Фор'!E51</f>
        <v/>
      </c>
      <c r="G20" s="128">
        <f>SUM(E20:F20)</f>
        <v/>
      </c>
      <c r="L20" s="129" t="n"/>
      <c r="M20" s="129" t="n"/>
      <c r="P20" s="130" t="n"/>
    </row>
    <row r="21" outlineLevel="1" ht="31.5" customHeight="1">
      <c r="A21" s="126" t="n"/>
      <c r="B21" s="127" t="n"/>
      <c r="C21" s="216" t="n"/>
      <c r="D21" s="127">
        <f>CONCATENATE("Смета №",H7,".01.02")</f>
        <v/>
      </c>
      <c r="E21" s="128" t="n"/>
      <c r="F21" s="128">
        <f>'смета 04.01.02_ПД_только БИМ_в3'!E55</f>
        <v/>
      </c>
      <c r="G21" s="128">
        <f>SUM(E21:F21)</f>
        <v/>
      </c>
      <c r="L21" s="129" t="n"/>
      <c r="M21" s="129" t="n"/>
      <c r="P21" s="130" t="n"/>
    </row>
    <row r="22" outlineLevel="1" ht="31.5" customHeight="1">
      <c r="A22" s="126" t="n"/>
      <c r="B22" s="127" t="n"/>
      <c r="C22" s="216" t="n"/>
      <c r="D22" s="127">
        <f>CONCATENATE("Смета №",H7,".02.01")</f>
        <v/>
      </c>
      <c r="E22" s="128" t="n"/>
      <c r="F22" s="128">
        <f>'смета 04.02.01_РД_без БИМ - Фор'!E41</f>
        <v/>
      </c>
      <c r="G22" s="128">
        <f>SUM(E22:F22)</f>
        <v/>
      </c>
      <c r="L22" s="129" t="n"/>
      <c r="M22" s="129" t="n"/>
      <c r="P22" s="130" t="n"/>
    </row>
    <row r="23" outlineLevel="1" ht="31.5" customHeight="1">
      <c r="A23" s="126" t="n"/>
      <c r="B23" s="127" t="n"/>
      <c r="C23" s="216" t="n"/>
      <c r="D23" s="127">
        <f>CONCATENATE("Смета №",H7,".02.02")</f>
        <v/>
      </c>
      <c r="E23" s="128" t="n"/>
      <c r="F23" s="128">
        <f>'смета 04.02.02_РД_только БИМ дл'!E43</f>
        <v/>
      </c>
      <c r="G23" s="128">
        <f>SUM(E23:F23)</f>
        <v/>
      </c>
      <c r="L23" s="129" t="n"/>
      <c r="M23" s="129" t="n"/>
      <c r="P23" s="130" t="n"/>
    </row>
    <row r="24" outlineLevel="1" ht="31.5" customHeight="1">
      <c r="A24" s="126" t="n"/>
      <c r="B24" s="127" t="n"/>
      <c r="C24" s="216" t="n"/>
      <c r="D24" s="127">
        <f>CONCATENATE("Смета №",H7,".03")</f>
        <v/>
      </c>
      <c r="E24" s="128">
        <f>'4смета_изыскания_ТК-17 - ТК-15 '!E56</f>
        <v/>
      </c>
      <c r="F24" s="128" t="n"/>
      <c r="G24" s="128">
        <f>SUM(E24:F24)</f>
        <v/>
      </c>
      <c r="L24" s="129" t="n"/>
      <c r="M24" s="129" t="n"/>
      <c r="N24" s="91">
        <f>G24</f>
        <v/>
      </c>
      <c r="O24" s="124" t="n"/>
      <c r="P24" s="125">
        <f>ROUND(N24/O24*1000,0)</f>
        <v/>
      </c>
    </row>
    <row r="25" outlineLevel="1" ht="31.5" customHeight="1">
      <c r="A25" s="126" t="n"/>
      <c r="B25" s="127" t="n"/>
      <c r="C25" s="216" t="n"/>
      <c r="D25" s="127" t="n"/>
      <c r="E25" s="128" t="n"/>
      <c r="F25" s="128" t="n"/>
      <c r="G25" s="128">
        <f>106370.94/1000</f>
        <v/>
      </c>
      <c r="L25" s="129" t="n"/>
      <c r="M25" s="129" t="n"/>
      <c r="N25" s="91" t="n"/>
      <c r="O25" s="124" t="n"/>
      <c r="P25" s="125" t="n"/>
    </row>
    <row r="26" customFormat="1" s="121">
      <c r="A26" s="172" t="n"/>
      <c r="B26" s="215" t="n"/>
      <c r="C26" s="215" t="n"/>
      <c r="D26" s="216" t="n"/>
      <c r="E26" s="119">
        <f>E19</f>
        <v/>
      </c>
      <c r="F26" s="119">
        <f>F19</f>
        <v/>
      </c>
      <c r="G26" s="119">
        <f>G19</f>
        <v/>
      </c>
      <c r="H26" s="120">
        <f>E26+F26</f>
        <v/>
      </c>
      <c r="I26" s="131" t="n"/>
      <c r="J26" s="120" t="n"/>
      <c r="K26" s="120">
        <f>SUM(K19:K24)</f>
        <v/>
      </c>
      <c r="O26" s="124" t="n"/>
      <c r="P26" s="132" t="n"/>
    </row>
    <row r="27">
      <c r="A27" s="173" t="n"/>
      <c r="B27" s="215" t="n"/>
      <c r="C27" s="215" t="n"/>
      <c r="D27" s="216" t="n"/>
      <c r="E27" s="128" t="n"/>
      <c r="F27" s="128" t="n"/>
      <c r="G27" s="128">
        <f>ROUND(G26*0.22,5)</f>
        <v/>
      </c>
      <c r="K27" s="91" t="n"/>
    </row>
    <row r="28" customFormat="1" s="121">
      <c r="A28" s="172" t="n"/>
      <c r="B28" s="215" t="n"/>
      <c r="C28" s="215" t="n"/>
      <c r="D28" s="216" t="n"/>
      <c r="E28" s="119" t="n"/>
      <c r="F28" s="119" t="n"/>
      <c r="G28" s="119">
        <f>G26+G27</f>
        <v/>
      </c>
      <c r="H28" s="131" t="n"/>
      <c r="I28" s="131" t="n"/>
      <c r="O28" s="124" t="n"/>
      <c r="P28" s="132" t="n"/>
    </row>
    <row r="29">
      <c r="A29" s="133" t="n"/>
      <c r="B29" s="133" t="n"/>
      <c r="C29" s="133" t="n"/>
      <c r="D29" s="134" t="n"/>
      <c r="E29" s="135" t="n"/>
      <c r="F29" s="135" t="n"/>
      <c r="G29" s="135" t="n"/>
    </row>
    <row r="30" customFormat="1" s="121">
      <c r="A30" s="174" t="n"/>
      <c r="C30" s="121">
        <f>SUBSTITUTE(SUBSTITUTE(PROPER(SUBSTITUTE(SUBSTITUTE(SUBSTITUTE(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IF(LEN(ROUNDDOWN(G28*1000,0))&gt;6,ROMAN(MID(ROUNDDOWN(G28*1000,0),1,LEN(ROUNDDOWN(G28*1000,0))-6)+0)&amp;" миллионов "&amp;ROMAN(MID(ROUNDDOWN(G28*1000,0),LEN(ROUNDDOWN(G28*1000,0))-5,3)+0)&amp;" тысяч "&amp;ROMAN(MID(ROUNDDOWN(G28*1000,0),LEN(ROUNDDOWN(G28*1000,0))-2,3)+0)&amp;" рублей",IF(LEN(ROUNDDOWN(G28*1000,0))&gt;3,ROMAN(MID(ROUNDDOWN(G28*1000,0),1,LEN(ROUNDDOWN(G28*1000,0))-3)+0)&amp;" тысяч "&amp;ROMAN(MID(ROUNDDOWN(G28*1000,0),LEN(ROUNDDOWN(G28*1000,0))-2,3)+0)&amp;" рублей",ROMAN(ROUNDDOWN(G28*1000,0))&amp;" рублей")),"DCCC"," восемьсот"),"DCC"," семьсот"),"DC"," шестьсот"),"CD"," четыреста"),"XC"," девяносто"),"CCC"," триста"),"CC"," двести"),"D"," пятьсот"),"CM"," девятьсот"),"C"," сто"),"XL"," сорок"),"LXXX"," восемьдесят"),"LXX"," семьдесят"),"LX"," шестьдесят"),"L"," пятьдесят"),"XXX"," тридцать"),"XX"," двадцать"),"XIX"," девятнадцать"),"XVIII"," восемнадцать"),"XVII"," семнадцать"),"XVI"," шестнадцать"),"XV"," пятнадцать"),"XIV"," четырнадцать"),"XIII"," тринадцать"),"XII"," двенадцать"),"XI"," одиннадцать"),"IX"," девять"),"X"," десять"),"VIII"," восемь"),"VII"," семь"),"VI"," шесть"),"IV"," четыре"),"V"," пять"),"III"," три"),"II"," два"),"I"," один"),"один тысяч","одна тысяча"),"два тысяч","две тысячи"),"три тысяч","три тысячи"),"четыре тысяч","четыре тысячи"),"один миллионов","один миллион"),"два миллионов","два миллиона"),"три миллионов","три миллиона"),"четыре миллионов","четыре миллиона"),"один рублей","один рубль"),"два рублей","два рубля"),"три рублей","три рубля"),"четыре рублей","четыре рубля")),"миллион тысяч","миллион"),"миллиона тысяч","миллиона"),"миллионов тысяч","миллионов")&amp;" "&amp;SUBSTITUTE(SUBSTITUTE(SUBSTITUTE(SUBSTITUTE(SUBSTITUTE(SUBSTITUTE(SUBSTITUTE(SUBSTITUTE(RIGHT(ROUND(G28*1000*100,0),2)&amp;" копеек","1 копеек","1 копейка"),"2 копеек","2 копейки"),"3 копеек","3 копейки"),"4 копеек","4 копейки"),"11 копейка","11 копеек"),"12 копейки","12 копеек"),"13 копейки","13 копеек"),"14 копейки","14 копеек")," ","Z")),"z"," "),"Z"," ")</f>
        <v/>
      </c>
      <c r="D30" s="136" t="n"/>
      <c r="E30" s="123" t="n"/>
      <c r="F30" s="123" t="n"/>
      <c r="G30" s="123" t="n"/>
      <c r="H30" s="131" t="n"/>
      <c r="I30" s="131" t="n"/>
      <c r="O30" s="124" t="n"/>
      <c r="P30" s="132" t="n"/>
    </row>
    <row r="31"/>
    <row r="32"/>
    <row r="33">
      <c r="B33" s="89" t="n"/>
    </row>
    <row r="34" ht="15.75" customHeight="1">
      <c r="B34" s="175" t="n"/>
      <c r="D34" s="137" t="n"/>
      <c r="E34" s="137" t="n"/>
      <c r="F34" s="169" t="n"/>
      <c r="H34" s="138" t="n"/>
      <c r="I34" s="138" t="n"/>
    </row>
    <row r="35">
      <c r="B35" s="166" t="n"/>
      <c r="D35" s="167" t="n"/>
      <c r="E35" s="221" t="n"/>
      <c r="F35" s="139" t="n"/>
      <c r="G35" s="139" t="n"/>
    </row>
    <row r="36"/>
    <row r="37"/>
    <row r="38">
      <c r="B38" s="89" t="n"/>
    </row>
    <row r="39">
      <c r="B39" s="168" t="n"/>
      <c r="D39" s="140" t="n"/>
      <c r="E39" s="140" t="n"/>
      <c r="F39" s="169" t="n"/>
      <c r="H39" s="138" t="n"/>
      <c r="I39" s="138" t="n"/>
    </row>
    <row r="40">
      <c r="B40" s="168" t="n"/>
      <c r="D40" s="167" t="n"/>
      <c r="E40" s="221" t="n"/>
      <c r="F40" s="141" t="n"/>
      <c r="G40" s="141" t="n"/>
    </row>
  </sheetData>
  <autoFilter ref="A18:G28">
    <filterColumn colId="1" hiddenButton="0" showButton="0"/>
  </autoFilter>
  <mergeCells count="30">
    <mergeCell ref="A14:G14"/>
    <mergeCell ref="A30:B30"/>
    <mergeCell ref="B25:C25"/>
    <mergeCell ref="A8:G8"/>
    <mergeCell ref="F34:G34"/>
    <mergeCell ref="B22:C22"/>
    <mergeCell ref="A16:A17"/>
    <mergeCell ref="D40:E40"/>
    <mergeCell ref="B18:C18"/>
    <mergeCell ref="A28:D28"/>
    <mergeCell ref="A10:G10"/>
    <mergeCell ref="B39:C39"/>
    <mergeCell ref="A13:G13"/>
    <mergeCell ref="B21:C21"/>
    <mergeCell ref="B23:C23"/>
    <mergeCell ref="D16:D17"/>
    <mergeCell ref="A11:G11"/>
    <mergeCell ref="E16:G16"/>
    <mergeCell ref="B16:C17"/>
    <mergeCell ref="B19:C19"/>
    <mergeCell ref="B34:C34"/>
    <mergeCell ref="A7:G7"/>
    <mergeCell ref="B40:C40"/>
    <mergeCell ref="F39:G39"/>
    <mergeCell ref="B24:C24"/>
    <mergeCell ref="A27:D27"/>
    <mergeCell ref="B20:C20"/>
    <mergeCell ref="A26:D26"/>
    <mergeCell ref="B35:C35"/>
    <mergeCell ref="D35:E35"/>
  </mergeCells>
  <pageMargins left="0.5905511811023623" right="0.1968503937007874" top="0.7874015748031497" bottom="0.3937007874015748" header="0.1968503937007874" footer="0.1968503937007874"/>
  <pageSetup orientation="portrait" paperSize="9" scale="5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74"/>
  <sheetViews>
    <sheetView view="pageBreakPreview" topLeftCell="A37" zoomScaleNormal="100" zoomScaleSheetLayoutView="100" workbookViewId="0">
      <selection activeCell="B5" sqref="B5"/>
    </sheetView>
  </sheetViews>
  <sheetFormatPr baseColWidth="8" defaultColWidth="8.85546875" defaultRowHeight="11.25"/>
  <cols>
    <col width="7" customWidth="1" style="9" min="1" max="1"/>
    <col width="32.140625" customWidth="1" style="9" min="2" max="2"/>
    <col width="47.140625" customWidth="1" style="9" min="3" max="3"/>
    <col width="40.28515625" customWidth="1" style="9" min="4" max="4"/>
    <col width="12.140625" customWidth="1" style="9" min="5" max="5"/>
    <col width="8.85546875" customWidth="1" style="9" min="6" max="7"/>
    <col width="16" customWidth="1" style="9" min="8" max="8"/>
    <col width="8.85546875" customWidth="1" style="9" min="9" max="12"/>
    <col hidden="1" width="138.7109375" customWidth="1" style="10" min="13" max="17"/>
    <col hidden="1" width="131.7109375" customWidth="1" style="11" min="18" max="25"/>
    <col width="8.85546875" customWidth="1" style="9" min="26" max="16384"/>
  </cols>
  <sheetData>
    <row r="1" ht="12.75" customFormat="1" customHeight="1" s="1">
      <c r="B1" s="2" t="n"/>
      <c r="E1" s="222">
        <f>CONCATENATE("Приложение №3.",F1,".1.1")</f>
        <v/>
      </c>
      <c r="F1" s="4" t="n"/>
    </row>
    <row r="2" ht="12.75" customFormat="1" customHeight="1" s="1">
      <c r="B2" s="2" t="n"/>
      <c r="E2" s="5" t="n"/>
      <c r="F2" s="4" t="n"/>
    </row>
    <row r="3" ht="12.75" customFormat="1" customHeight="1" s="1">
      <c r="B3" s="2" t="n"/>
      <c r="E3" s="222" t="n"/>
      <c r="F3" s="4" t="n"/>
    </row>
    <row r="4" ht="12.75" customFormat="1" customHeight="1" s="1">
      <c r="B4" s="2" t="n"/>
      <c r="E4" s="222" t="n"/>
      <c r="F4" s="4" t="n"/>
    </row>
    <row r="5" ht="12.75" customFormat="1" customHeight="1" s="1">
      <c r="B5" s="2" t="n"/>
      <c r="E5" s="222" t="n"/>
      <c r="F5" s="4" t="n"/>
    </row>
    <row r="6" ht="15" customFormat="1" customHeight="1" s="7">
      <c r="A6" s="187">
        <f>CONCATENATE("СМЕТА № ",F6,".01.01")</f>
        <v/>
      </c>
      <c r="F6" s="6" t="n"/>
    </row>
    <row r="7" ht="15" customFormat="1" customHeight="1" s="7">
      <c r="A7" s="188" t="n"/>
    </row>
    <row r="8" ht="25.5" customFormat="1" customHeight="1" s="7">
      <c r="A8" s="189" t="n"/>
      <c r="B8" s="223" t="n"/>
      <c r="C8" s="223" t="n"/>
      <c r="D8" s="223" t="n"/>
      <c r="E8" s="223" t="n"/>
      <c r="M8" s="8" t="n"/>
      <c r="N8" s="8" t="inlineStr"/>
      <c r="O8" s="8" t="inlineStr"/>
      <c r="P8" s="8" t="inlineStr"/>
      <c r="Q8" s="8" t="inlineStr"/>
    </row>
    <row r="9" ht="15" customFormat="1" customHeight="1" s="7">
      <c r="A9" s="190" t="n"/>
      <c r="B9" s="221" t="n"/>
      <c r="C9" s="221" t="n"/>
      <c r="D9" s="221" t="n"/>
      <c r="E9" s="221" t="n"/>
    </row>
    <row r="10"/>
    <row r="11" ht="15" customFormat="1" customHeight="1" s="7">
      <c r="A11" s="12" t="n"/>
      <c r="B11" s="13" t="n"/>
      <c r="C11" s="13" t="n"/>
      <c r="D11" s="13" t="n"/>
      <c r="E11" s="13" t="n"/>
    </row>
    <row r="12" ht="15" customFormat="1" customHeight="1" s="7">
      <c r="A12" s="14" t="n"/>
      <c r="B12" s="191" t="n"/>
      <c r="C12" s="223" t="n"/>
      <c r="D12" s="223" t="n"/>
      <c r="E12" s="223" t="n"/>
      <c r="R12" s="15" t="n"/>
      <c r="S12" s="15" t="inlineStr"/>
      <c r="T12" s="15" t="inlineStr"/>
      <c r="U12" s="15" t="inlineStr"/>
    </row>
    <row r="13" ht="15" customFormat="1" customHeight="1" s="7">
      <c r="A13" s="190" t="n"/>
      <c r="B13" s="221" t="n"/>
      <c r="C13" s="221" t="n"/>
      <c r="D13" s="221" t="n"/>
      <c r="E13" s="221" t="n"/>
    </row>
    <row r="14" ht="15" customFormat="1" customHeight="1" s="7">
      <c r="A14" s="16" t="n"/>
      <c r="B14" s="13" t="n"/>
      <c r="C14" s="17" t="n"/>
      <c r="D14" s="17" t="n"/>
      <c r="E14" s="17" t="n"/>
    </row>
    <row r="15" ht="15" customFormat="1" customHeight="1" s="7">
      <c r="A15" s="14" t="n"/>
      <c r="B15" s="191" t="n"/>
      <c r="C15" s="223" t="n"/>
      <c r="D15" s="223" t="n"/>
      <c r="E15" s="223" t="n"/>
      <c r="V15" s="15" t="n"/>
      <c r="W15" s="15" t="inlineStr"/>
      <c r="X15" s="15" t="inlineStr"/>
      <c r="Y15" s="15" t="inlineStr"/>
    </row>
    <row r="16" ht="15" customFormat="1" customHeight="1" s="7">
      <c r="A16" s="190" t="n"/>
      <c r="B16" s="221" t="n"/>
      <c r="C16" s="221" t="n"/>
      <c r="D16" s="221" t="n"/>
      <c r="E16" s="221" t="n"/>
    </row>
    <row r="17"/>
    <row r="18" ht="15" customFormat="1" customHeight="1" s="7">
      <c r="A18" s="9" t="n"/>
    </row>
    <row r="19"/>
    <row r="20" ht="36" customFormat="1" customHeight="1" s="7">
      <c r="A20" s="44" t="n"/>
      <c r="B20" s="44" t="n"/>
      <c r="C20" s="44" t="n"/>
      <c r="D20" s="44" t="n"/>
      <c r="E20" s="44" t="n"/>
    </row>
    <row r="21" ht="15" customFormat="1" customHeight="1" s="7">
      <c r="A21" s="45" t="n"/>
      <c r="B21" s="46" t="n"/>
      <c r="C21" s="46" t="n"/>
      <c r="D21" s="45" t="n"/>
      <c r="E21" s="45" t="n"/>
    </row>
    <row r="22" ht="15" customFormat="1" customHeight="1" s="7">
      <c r="A22" s="224" t="n"/>
      <c r="B22" s="215" t="n"/>
      <c r="C22" s="215" t="n"/>
      <c r="D22" s="215" t="n"/>
      <c r="E22" s="216" t="n"/>
    </row>
    <row r="23" ht="78.75" customFormat="1" customHeight="1" s="7">
      <c r="A23" s="47" t="n"/>
      <c r="B23" s="48" t="n"/>
      <c r="C23" s="48" t="n"/>
      <c r="D23" s="49" t="n"/>
      <c r="E23" s="225" t="n"/>
    </row>
    <row r="24" ht="45.75" customFormat="1" customHeight="1" s="7">
      <c r="A24" s="51" t="n"/>
      <c r="B24" s="52" t="n"/>
      <c r="C24" s="53" t="n"/>
      <c r="D24" s="54" t="n"/>
      <c r="E24" s="55" t="n"/>
    </row>
    <row r="25" ht="15" customFormat="1" customHeight="1" s="7">
      <c r="A25" s="51" t="n"/>
      <c r="B25" s="52" t="n"/>
      <c r="C25" s="53" t="n"/>
      <c r="D25" s="54" t="n"/>
      <c r="E25" s="55" t="n"/>
    </row>
    <row r="26" ht="90.75" customFormat="1" customHeight="1" s="7">
      <c r="A26" s="51" t="n"/>
      <c r="B26" s="52" t="n"/>
      <c r="C26" s="53" t="n"/>
      <c r="D26" s="54" t="n"/>
      <c r="E26" s="55" t="n"/>
    </row>
    <row r="27" ht="34.5" customFormat="1" customHeight="1" s="7">
      <c r="A27" s="51" t="n"/>
      <c r="B27" s="52" t="n"/>
      <c r="C27" s="53" t="n"/>
      <c r="D27" s="54" t="n"/>
      <c r="E27" s="55" t="n"/>
    </row>
    <row r="28" ht="15" customFormat="1" customHeight="1" s="7">
      <c r="A28" s="51" t="n"/>
      <c r="B28" s="52" t="n"/>
      <c r="C28" s="53" t="n"/>
      <c r="D28" s="54" t="n"/>
      <c r="E28" s="55" t="n"/>
    </row>
    <row r="29" ht="15" customFormat="1" customHeight="1" s="7">
      <c r="A29" s="51" t="n"/>
      <c r="B29" s="52" t="n"/>
      <c r="C29" s="53" t="n"/>
      <c r="D29" s="54" t="n"/>
      <c r="E29" s="55" t="n"/>
    </row>
    <row r="30" ht="15" customFormat="1" customHeight="1" s="7">
      <c r="A30" s="51" t="n"/>
      <c r="B30" s="52" t="n"/>
      <c r="C30" s="53" t="n"/>
      <c r="D30" s="54" t="n"/>
      <c r="E30" s="55" t="n"/>
    </row>
    <row r="31" ht="15" customFormat="1" customHeight="1" s="7">
      <c r="A31" s="51" t="n"/>
      <c r="B31" s="52" t="n"/>
      <c r="C31" s="53" t="n"/>
      <c r="D31" s="54" t="n"/>
      <c r="E31" s="55" t="n"/>
    </row>
    <row r="32" ht="15" customFormat="1" customHeight="1" s="7">
      <c r="A32" s="51" t="n"/>
      <c r="B32" s="52" t="n"/>
      <c r="C32" s="53" t="n"/>
      <c r="D32" s="54" t="n"/>
      <c r="E32" s="55" t="n"/>
    </row>
    <row r="33" ht="15" customFormat="1" customHeight="1" s="7">
      <c r="A33" s="51" t="n"/>
      <c r="B33" s="52" t="n"/>
      <c r="C33" s="53" t="n"/>
      <c r="D33" s="54" t="n"/>
      <c r="E33" s="55" t="n"/>
    </row>
    <row r="34" ht="15" customFormat="1" customHeight="1" s="7">
      <c r="A34" s="51" t="n"/>
      <c r="B34" s="52" t="n"/>
      <c r="C34" s="53" t="n"/>
      <c r="D34" s="54" t="n"/>
      <c r="E34" s="55" t="n"/>
    </row>
    <row r="35" ht="15" customFormat="1" customHeight="1" s="7">
      <c r="A35" s="51" t="n"/>
      <c r="B35" s="52" t="n"/>
      <c r="C35" s="53" t="n"/>
      <c r="D35" s="54" t="n"/>
      <c r="E35" s="51" t="n"/>
    </row>
    <row r="36" ht="78.75" customFormat="1" customHeight="1" s="7">
      <c r="A36" s="47" t="n"/>
      <c r="B36" s="48" t="n"/>
      <c r="C36" s="48" t="n"/>
      <c r="D36" s="49" t="n"/>
      <c r="E36" s="225" t="n"/>
    </row>
    <row r="37" ht="45.75" customFormat="1" customHeight="1" s="7">
      <c r="A37" s="51" t="n"/>
      <c r="B37" s="52" t="n"/>
      <c r="C37" s="53" t="n"/>
      <c r="D37" s="54" t="n"/>
      <c r="E37" s="55" t="n"/>
    </row>
    <row r="38" ht="15" customFormat="1" customHeight="1" s="7">
      <c r="A38" s="51" t="n"/>
      <c r="B38" s="52" t="n"/>
      <c r="C38" s="53" t="n"/>
      <c r="D38" s="54" t="n"/>
      <c r="E38" s="55" t="n"/>
    </row>
    <row r="39" ht="90.75" customFormat="1" customHeight="1" s="7">
      <c r="A39" s="51" t="n"/>
      <c r="B39" s="52" t="n"/>
      <c r="C39" s="53" t="n"/>
      <c r="D39" s="54" t="n"/>
      <c r="E39" s="55" t="n"/>
    </row>
    <row r="40" ht="34.5" customFormat="1" customHeight="1" s="7">
      <c r="A40" s="51" t="n"/>
      <c r="B40" s="52" t="n"/>
      <c r="C40" s="53" t="n"/>
      <c r="D40" s="54" t="n"/>
      <c r="E40" s="55" t="n"/>
    </row>
    <row r="41" ht="15" customFormat="1" customHeight="1" s="7">
      <c r="A41" s="51" t="n"/>
      <c r="B41" s="52" t="n"/>
      <c r="C41" s="53" t="n"/>
      <c r="D41" s="54" t="n"/>
      <c r="E41" s="55" t="n"/>
    </row>
    <row r="42" ht="15" customFormat="1" customHeight="1" s="7">
      <c r="A42" s="51" t="n"/>
      <c r="B42" s="52" t="n"/>
      <c r="C42" s="53" t="n"/>
      <c r="D42" s="54" t="n"/>
      <c r="E42" s="55" t="n"/>
    </row>
    <row r="43" ht="15" customFormat="1" customHeight="1" s="7">
      <c r="A43" s="51" t="n"/>
      <c r="B43" s="52" t="n"/>
      <c r="C43" s="53" t="n"/>
      <c r="D43" s="54" t="n"/>
      <c r="E43" s="55" t="n"/>
    </row>
    <row r="44" ht="15" customFormat="1" customHeight="1" s="7">
      <c r="A44" s="51" t="n"/>
      <c r="B44" s="52" t="n"/>
      <c r="C44" s="53" t="n"/>
      <c r="D44" s="54" t="n"/>
      <c r="E44" s="55" t="n"/>
    </row>
    <row r="45" ht="15" customFormat="1" customHeight="1" s="7">
      <c r="A45" s="51" t="n"/>
      <c r="B45" s="52" t="n"/>
      <c r="C45" s="53" t="n"/>
      <c r="D45" s="54" t="n"/>
      <c r="E45" s="55" t="n"/>
    </row>
    <row r="46" ht="15" customFormat="1" customHeight="1" s="7">
      <c r="A46" s="51" t="n"/>
      <c r="B46" s="52" t="n"/>
      <c r="C46" s="53" t="n"/>
      <c r="D46" s="54" t="n"/>
      <c r="E46" s="55" t="n"/>
    </row>
    <row r="47" ht="15" customFormat="1" customHeight="1" s="7">
      <c r="A47" s="51" t="n"/>
      <c r="B47" s="52" t="n"/>
      <c r="C47" s="53" t="n"/>
      <c r="D47" s="54" t="n"/>
      <c r="E47" s="55" t="n"/>
    </row>
    <row r="48" ht="15" customFormat="1" customHeight="1" s="7">
      <c r="A48" s="51" t="n"/>
      <c r="B48" s="52" t="n"/>
      <c r="C48" s="53" t="n"/>
      <c r="D48" s="54" t="n"/>
      <c r="E48" s="51" t="n"/>
    </row>
    <row r="49" ht="15" customFormat="1" customHeight="1" s="7">
      <c r="A49" s="56" t="n"/>
      <c r="B49" s="198" t="n"/>
      <c r="C49" s="216" t="n"/>
      <c r="D49" s="56" t="n"/>
      <c r="E49" s="57" t="n"/>
      <c r="F49" s="58" t="n"/>
      <c r="G49" s="58" t="n"/>
    </row>
    <row r="50" ht="15" customFormat="1" customHeight="1" s="7">
      <c r="A50" s="56" t="n"/>
      <c r="B50" s="198" t="n"/>
      <c r="C50" s="216" t="n"/>
      <c r="D50" s="56" t="n"/>
      <c r="E50" s="57" t="n"/>
    </row>
    <row r="51" ht="15" customFormat="1" customHeight="1" s="7">
      <c r="A51" s="56" t="n"/>
      <c r="B51" s="201" t="n"/>
      <c r="C51" s="216" t="n"/>
      <c r="D51" s="56" t="n"/>
      <c r="E51" s="59" t="n"/>
    </row>
    <row r="52" ht="15" customFormat="1" customHeight="1" s="7">
      <c r="A52" s="56" t="n"/>
      <c r="B52" s="201" t="n"/>
      <c r="C52" s="216" t="n"/>
      <c r="D52" s="56" t="n"/>
      <c r="E52" s="59" t="n"/>
    </row>
    <row r="53" ht="15" customFormat="1" customHeight="1" s="7">
      <c r="A53" s="56" t="n"/>
      <c r="B53" s="198" t="n"/>
      <c r="C53" s="216" t="n"/>
      <c r="D53" s="56" t="n"/>
      <c r="E53" s="57" t="n"/>
    </row>
    <row r="54" ht="15" customFormat="1" customHeight="1" s="7"/>
    <row r="55" ht="12.75" customFormat="1" customHeight="1" s="24">
      <c r="A55" s="18">
        <f>CONCATENATE("Всего по смете с НДС: ",SUBSTITUTE(SUBSTITUTE(PROPER(SUBSTITUTE(SUBSTITUTE(SUBSTITUTE(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IF(LEN(ROUNDDOWN(E53*1000,0))&gt;6,ROMAN(MID(ROUNDDOWN(E53*1000,0),1,LEN(ROUNDDOWN(E53*1000,0))-6)+0)&amp;" миллионов "&amp;ROMAN(MID(ROUNDDOWN(E53*1000,0),LEN(ROUNDDOWN(E53*1000,0))-5,3)+0)&amp;" тысяч "&amp;ROMAN(MID(ROUNDDOWN(E53*1000,0),LEN(ROUNDDOWN(E53*1000,0))-2,3)+0)&amp;" рублей",IF(LEN(ROUNDDOWN(E53*1000,0))&gt;3,ROMAN(MID(ROUNDDOWN(E53*1000,0),1,LEN(ROUNDDOWN(E53*1000,0))-3)+0)&amp;" тысяч "&amp;ROMAN(MID(ROUNDDOWN(E53*1000,0),LEN(ROUNDDOWN(E53*1000,0))-2,3)+0)&amp;" рублей",ROMAN(ROUNDDOWN(E53*1000,0))&amp;" рублей")),"DCCC"," восемьсот"),"DCC"," семьсот"),"DC"," шестьсот"),"CD"," четыреста"),"XC"," девяносто"),"CCC"," триста"),"CC"," двести"),"D"," пятьсот"),"CM"," девятьсот"),"C"," сто"),"XL"," сорок"),"LXXX"," восемьдесят"),"LXX"," семьдесят"),"LX"," шестьдесят"),"L"," пятьдесят"),"XXX"," тридцать"),"XX"," двадцать"),"XIX"," девятнадцать"),"XVIII"," восемнадцать"),"XVII"," семнадцать"),"XVI"," шестнадцать"),"XV"," пятнадцать"),"XIV"," четырнадцать"),"XIII"," тринадцать"),"XII"," двенадцать"),"XI"," одиннадцать"),"IX"," девять"),"X"," десять"),"VIII"," восемь"),"VII"," семь"),"VI"," шесть"),"IV"," четыре"),"V"," пять"),"III"," три"),"II"," два"),"I"," один"),"один тысяч","одна тысяча"),"два тысяч","две тысячи"),"три тысяч","три тысячи"),"четыре тысяч","четыре тысячи"),"один миллионов","один миллион"),"два миллионов","два миллиона"),"три миллионов","три миллиона"),"четыре миллионов","четыре миллиона"),"один рублей","один рубль"),"два рублей","два рубля"),"три рублей","три рубля"),"четыре рублей","четыре рубля")),"миллион тысяч","миллион"),"миллиона тысяч","миллиона"),"миллионов тысяч","миллионов")&amp;" "&amp;SUBSTITUTE(SUBSTITUTE(SUBSTITUTE(SUBSTITUTE(SUBSTITUTE(SUBSTITUTE(SUBSTITUTE(SUBSTITUTE(RIGHT(ROUND(E53*1000*100,0),2)&amp;" копеек","1 копеек","1 копейка"),"2 копеек","2 копейки"),"3 копеек","3 копейки"),"4 копеек","4 копейки"),"11 копейка","11 копеек"),"12 копейки","12 копеек"),"13 копейки","13 копеек"),"14 копейки","14 копеек")," ","Z")),"z"," "),"Z"," "))</f>
        <v/>
      </c>
      <c r="B55" s="19" t="n"/>
      <c r="C55" s="20" t="n"/>
      <c r="D55" s="21" t="n"/>
      <c r="E55" s="22" t="n"/>
      <c r="F55" s="23" t="n"/>
      <c r="M55" s="25" t="n"/>
      <c r="N55" s="25" t="n"/>
      <c r="O55" s="25" t="n"/>
      <c r="P55" s="25" t="n"/>
    </row>
    <row r="56" ht="12.75" customFormat="1" customHeight="1" s="24">
      <c r="A56" s="192" t="n"/>
      <c r="B56" s="221" t="n"/>
      <c r="C56" s="221" t="n"/>
      <c r="D56" s="221" t="n"/>
      <c r="E56" s="221" t="n"/>
      <c r="F56" s="23" t="n"/>
      <c r="M56" s="25" t="n"/>
      <c r="N56" s="25" t="n"/>
      <c r="O56" s="25" t="n"/>
      <c r="P56" s="25" t="n"/>
    </row>
    <row r="57" ht="12.75" customFormat="1" customHeight="1" s="24">
      <c r="A57" s="26" t="n"/>
      <c r="B57" s="26" t="n"/>
      <c r="C57" s="27" t="n"/>
      <c r="D57" s="28" t="n"/>
      <c r="E57" s="28" t="n"/>
      <c r="F57" s="23" t="n"/>
      <c r="M57" s="25" t="n"/>
      <c r="N57" s="25" t="n"/>
      <c r="O57" s="25" t="n"/>
      <c r="P57" s="25" t="n"/>
    </row>
    <row r="58" ht="12.75" customFormat="1" customHeight="1" s="24">
      <c r="A58" s="193" t="n"/>
      <c r="C58" s="30" t="n"/>
      <c r="D58" s="200" t="n"/>
      <c r="E58" s="200" t="n"/>
      <c r="F58" s="23" t="n"/>
      <c r="M58" s="25" t="n"/>
      <c r="N58" s="25" t="n"/>
      <c r="O58" s="25" t="n"/>
      <c r="P58" s="25" t="n"/>
    </row>
    <row r="59" ht="15" customFormat="1" customHeight="1" s="7">
      <c r="A59" s="193" t="n"/>
      <c r="C59" s="32" t="n"/>
      <c r="D59" s="200" t="n"/>
      <c r="E59" s="200" t="n"/>
      <c r="F59" s="33" t="n"/>
    </row>
    <row r="60" ht="15" customFormat="1" customHeight="1" s="7">
      <c r="A60" s="193" t="n"/>
      <c r="C60" s="167" t="n"/>
      <c r="D60" s="167" t="n"/>
      <c r="E60" s="35" t="n"/>
      <c r="F60" s="36" t="n"/>
      <c r="G60" s="37" t="n"/>
      <c r="H60" s="37" t="n"/>
      <c r="I60" s="37" t="n"/>
      <c r="J60" s="37" t="n"/>
      <c r="K60" s="37" t="n"/>
      <c r="L60" s="37" t="n"/>
      <c r="P60" s="37" t="inlineStr"/>
    </row>
    <row r="61" ht="15" customFormat="1" customHeight="1" s="7">
      <c r="A61" s="193" t="n"/>
      <c r="B61" s="193" t="n"/>
      <c r="C61" s="38" t="n"/>
      <c r="D61" s="38" t="n"/>
      <c r="E61" s="35" t="n"/>
      <c r="F61" s="39" t="n"/>
    </row>
    <row r="62" ht="15" customFormat="1" customHeight="1" s="7">
      <c r="A62" s="200" t="n"/>
      <c r="C62" s="32" t="n"/>
      <c r="D62" s="200" t="n"/>
      <c r="E62" s="200" t="n"/>
      <c r="F62" s="33" t="n"/>
    </row>
    <row r="63" ht="15" customFormat="1" customHeight="1" s="7">
      <c r="A63" s="193" t="n"/>
      <c r="B63" s="193" t="n"/>
      <c r="C63" s="167" t="n"/>
      <c r="D63" s="167" t="n"/>
      <c r="E63" s="35" t="n"/>
      <c r="F63" s="39" t="n"/>
    </row>
    <row r="64" ht="12.75" customFormat="1" customHeight="1" s="9">
      <c r="A64" s="194" t="n"/>
      <c r="C64" s="38" t="n"/>
      <c r="D64" s="38" t="n"/>
      <c r="E64" s="35" t="n"/>
      <c r="F64" s="40" t="n"/>
      <c r="M64" s="37" t="n"/>
      <c r="N64" s="37" t="n"/>
      <c r="O64" s="37" t="n"/>
      <c r="P64" s="37" t="n"/>
    </row>
    <row r="65" ht="12.75" customFormat="1" customHeight="1" s="9">
      <c r="A65" s="194" t="n"/>
      <c r="C65" s="27" t="n"/>
      <c r="D65" s="28" t="n"/>
      <c r="E65" s="28" t="n"/>
      <c r="F65" s="40" t="n"/>
      <c r="M65" s="37" t="n"/>
      <c r="N65" s="37" t="n"/>
      <c r="O65" s="37" t="n"/>
      <c r="P65" s="37" t="n"/>
    </row>
    <row r="66" ht="12.75" customFormat="1" customHeight="1" s="9">
      <c r="A66" s="26" t="n"/>
      <c r="B66" s="26" t="n"/>
      <c r="C66" s="27" t="n"/>
      <c r="D66" s="28" t="n"/>
      <c r="E66" s="28" t="n"/>
      <c r="F66" s="40" t="n"/>
      <c r="M66" s="37" t="n"/>
      <c r="N66" s="37" t="n"/>
      <c r="O66" s="37" t="n"/>
      <c r="P66" s="37" t="n"/>
    </row>
    <row r="67" ht="12.75" customFormat="1" customHeight="1" s="9">
      <c r="A67" s="26" t="n"/>
      <c r="B67" s="26" t="n"/>
      <c r="C67" s="27" t="n"/>
      <c r="D67" s="28" t="n"/>
      <c r="E67" s="28" t="n"/>
      <c r="F67" s="40" t="n"/>
      <c r="M67" s="37" t="n"/>
      <c r="N67" s="37" t="n"/>
      <c r="O67" s="37" t="n"/>
      <c r="P67" s="37" t="n"/>
    </row>
    <row r="68" ht="12.75" customFormat="1" customHeight="1" s="9">
      <c r="A68" s="199" t="n"/>
      <c r="C68" s="41" t="n"/>
      <c r="D68" s="42" t="n"/>
      <c r="E68" s="20" t="n"/>
      <c r="F68" s="40" t="n"/>
      <c r="M68" s="37" t="n"/>
      <c r="N68" s="37" t="n"/>
      <c r="O68" s="37" t="n"/>
      <c r="P68" s="37" t="n"/>
    </row>
    <row r="69" ht="12.75" customFormat="1" customHeight="1" s="9">
      <c r="A69" s="199" t="n"/>
      <c r="C69" s="167" t="n"/>
      <c r="D69" s="167" t="n"/>
      <c r="E69" s="43" t="n"/>
      <c r="F69" s="40" t="n"/>
      <c r="M69" s="37" t="n"/>
      <c r="N69" s="37" t="n"/>
      <c r="O69" s="37" t="n"/>
      <c r="P69" s="37" t="n"/>
    </row>
    <row r="70" ht="12.75" customFormat="1" customHeight="1" s="9">
      <c r="A70" s="193" t="n"/>
      <c r="B70" s="193" t="n"/>
      <c r="C70" s="38" t="n"/>
      <c r="D70" s="38" t="n"/>
      <c r="E70" s="35" t="n"/>
      <c r="F70" s="40" t="n"/>
      <c r="M70" s="37" t="n"/>
      <c r="N70" s="37" t="n"/>
      <c r="O70" s="37" t="n"/>
      <c r="P70" s="37" t="n"/>
    </row>
    <row r="71" ht="12.75" customFormat="1" customHeight="1" s="9">
      <c r="A71" s="200" t="n"/>
      <c r="C71" s="32" t="n"/>
      <c r="D71" s="200" t="n"/>
      <c r="E71" s="200" t="n"/>
      <c r="F71" s="40" t="n"/>
      <c r="M71" s="37" t="n"/>
      <c r="N71" s="37" t="n"/>
      <c r="O71" s="37" t="n"/>
      <c r="P71" s="37" t="n"/>
    </row>
    <row r="72" ht="12.75" customFormat="1" customHeight="1" s="9">
      <c r="A72" s="193" t="n"/>
      <c r="B72" s="193" t="n"/>
      <c r="C72" s="167" t="n"/>
      <c r="D72" s="167" t="n"/>
      <c r="E72" s="35" t="n"/>
      <c r="F72" s="40" t="n"/>
      <c r="M72" s="37" t="n"/>
      <c r="N72" s="37" t="n"/>
      <c r="O72" s="37" t="n"/>
      <c r="P72" s="37" t="n"/>
    </row>
    <row r="73" ht="12.75" customFormat="1" customHeight="1" s="9">
      <c r="A73" s="194" t="n"/>
      <c r="C73" s="38" t="n"/>
      <c r="D73" s="38" t="n"/>
      <c r="E73" s="35" t="n"/>
      <c r="F73" s="40" t="n"/>
      <c r="M73" s="37" t="n"/>
      <c r="N73" s="37" t="n"/>
      <c r="O73" s="37" t="n"/>
      <c r="P73" s="37" t="n"/>
    </row>
    <row r="74" ht="12.75" customFormat="1" customHeight="1" s="9">
      <c r="A74" s="194" t="n"/>
      <c r="C74" s="27" t="n"/>
      <c r="D74" s="28" t="n"/>
      <c r="E74" s="28" t="n"/>
      <c r="F74" s="40" t="n"/>
      <c r="M74" s="37" t="n"/>
      <c r="N74" s="37" t="n"/>
      <c r="O74" s="37" t="n"/>
      <c r="P74" s="37" t="n"/>
    </row>
  </sheetData>
  <mergeCells count="26">
    <mergeCell ref="A64:B64"/>
    <mergeCell ref="A59:B59"/>
    <mergeCell ref="A60:B60"/>
    <mergeCell ref="A73:B73"/>
    <mergeCell ref="A58:B58"/>
    <mergeCell ref="B15:E15"/>
    <mergeCell ref="A6:E6"/>
    <mergeCell ref="A69:B69"/>
    <mergeCell ref="B52:C52"/>
    <mergeCell ref="A65:B65"/>
    <mergeCell ref="A16:E16"/>
    <mergeCell ref="A7:E7"/>
    <mergeCell ref="A74:B74"/>
    <mergeCell ref="A56:E56"/>
    <mergeCell ref="B53:C53"/>
    <mergeCell ref="B12:E12"/>
    <mergeCell ref="A71:B71"/>
    <mergeCell ref="A8:E8"/>
    <mergeCell ref="A22:E22"/>
    <mergeCell ref="B49:C49"/>
    <mergeCell ref="A62:B62"/>
    <mergeCell ref="A68:B68"/>
    <mergeCell ref="B51:C51"/>
    <mergeCell ref="B50:C50"/>
    <mergeCell ref="A13:E13"/>
    <mergeCell ref="A9:E9"/>
  </mergeCells>
  <pageMargins left="0.5905511811023623" right="0.1968503937007874" top="0.7874015748031497" bottom="0.3937007874015748" header="0.1968503937007874" footer="0.1968503937007874"/>
  <pageSetup orientation="portrait" paperSize="9" scale="68" fitToHeight="0"/>
  <rowBreaks count="1" manualBreakCount="1">
    <brk id="49" min="0" max="4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Светлана А. Исрафилова</dc:creator>
  <dcterms:created xsi:type="dcterms:W3CDTF">2026-05-25T07:06:32Z</dcterms:created>
  <dcterms:modified xsi:type="dcterms:W3CDTF">2026-09-14T21:22:38Z</dcterms:modified>
  <cp:lastModifiedBy>UserPC</cp:lastModifiedBy>
  <cp:lastPrinted>2026-05-25T07:14:37Z</cp:lastPrinted>
</cp:coreProperties>
</file>